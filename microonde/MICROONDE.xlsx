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  <sheet state="visible" name="Foglio2" sheetId="2" r:id="rId5"/>
    <sheet state="visible" name="Foglio3" sheetId="3" r:id="rId6"/>
    <sheet state="visible" name="Foglio4" sheetId="4" r:id="rId7"/>
  </sheets>
  <definedNames/>
  <calcPr/>
  <extLst>
    <ext uri="GoogleSheetsCustomDataVersion2">
      <go:sheetsCustomData xmlns:go="http://customooxmlschemas.google.com/" r:id="rId8" roundtripDataChecksum="DQZ+vvvSP1Zm0TnBS5jPJa7i+XxJbpBe/21DtEUrAFw="/>
    </ext>
  </extLst>
</workbook>
</file>

<file path=xl/sharedStrings.xml><?xml version="1.0" encoding="utf-8"?>
<sst xmlns="http://schemas.openxmlformats.org/spreadsheetml/2006/main" count="82" uniqueCount="69">
  <si>
    <t>Calibrazione strumento:</t>
  </si>
  <si>
    <t>guadagno usato 30X</t>
  </si>
  <si>
    <t>sensibilità Voltimetro :</t>
  </si>
  <si>
    <t>0,001 V</t>
  </si>
  <si>
    <t>sensibilità Amperometro:</t>
  </si>
  <si>
    <t>0,2 mA</t>
  </si>
  <si>
    <t>sensibilità metro:</t>
  </si>
  <si>
    <t>0,1 cm</t>
  </si>
  <si>
    <t>max voltaggio:</t>
  </si>
  <si>
    <t>2,286 V</t>
  </si>
  <si>
    <t>\pm 0,002</t>
  </si>
  <si>
    <t>2,510V</t>
  </si>
  <si>
    <t>min Voltaggio:</t>
  </si>
  <si>
    <t>1,179V</t>
  </si>
  <si>
    <t>1,274V</t>
  </si>
  <si>
    <t>sensibilità goniometro ricevitore:</t>
  </si>
  <si>
    <t>5°</t>
  </si>
  <si>
    <t>Facciamo ruotare il ricevitore in senso antiorario</t>
  </si>
  <si>
    <t>POLARIZZAZIONE:</t>
  </si>
  <si>
    <t>verifico simmetri</t>
  </si>
  <si>
    <t>I iniziale (in Volta)</t>
  </si>
  <si>
    <t>angolo alfa (in gradi)</t>
  </si>
  <si>
    <t>I iniziale</t>
  </si>
  <si>
    <t>angolo</t>
  </si>
  <si>
    <t>media I (Volt)</t>
  </si>
  <si>
    <t>incertezza I (Volt)</t>
  </si>
  <si>
    <t>angolo (gradi)</t>
  </si>
  <si>
    <t>media e dev :st</t>
  </si>
  <si>
    <t>AMPIEZZA</t>
  </si>
  <si>
    <t>sensibilità goniometro:</t>
  </si>
  <si>
    <t>1 grado</t>
  </si>
  <si>
    <t>90 cm</t>
  </si>
  <si>
    <t>Formando angolo tra ricevitore e emettitore</t>
  </si>
  <si>
    <t>simmetria</t>
  </si>
  <si>
    <t>I (in volt)</t>
  </si>
  <si>
    <t>I (volt)</t>
  </si>
  <si>
    <t>angolo alfa</t>
  </si>
  <si>
    <t>incertezza (Volt)</t>
  </si>
  <si>
    <t>angoli (gradi)</t>
  </si>
  <si>
    <t>distanza ricevitore emettitore spostando unicamente il ricevitore:</t>
  </si>
  <si>
    <t xml:space="preserve">P_massimo </t>
  </si>
  <si>
    <t>I</t>
  </si>
  <si>
    <t>massimi</t>
  </si>
  <si>
    <t>I_massimi</t>
  </si>
  <si>
    <t>P_max_tot</t>
  </si>
  <si>
    <t>I_massimi_tot</t>
  </si>
  <si>
    <t>P_i ricevitore :</t>
  </si>
  <si>
    <t>95 cm</t>
  </si>
  <si>
    <t>posizione emettitore</t>
  </si>
  <si>
    <t>P_i emettitore :</t>
  </si>
  <si>
    <t>16 cm</t>
  </si>
  <si>
    <t>P_ricevitore reale:</t>
  </si>
  <si>
    <t>media :</t>
  </si>
  <si>
    <t>posizione</t>
  </si>
  <si>
    <t>Intesità</t>
  </si>
  <si>
    <t>dev. std.:</t>
  </si>
  <si>
    <t>valore sballato:</t>
  </si>
  <si>
    <t>ANGOLO DI BREWSTER</t>
  </si>
  <si>
    <t>angoli incertezza 1 grado</t>
  </si>
  <si>
    <t>senso orario</t>
  </si>
  <si>
    <t>I primo massimo</t>
  </si>
  <si>
    <t>incertezza = +\- 1 grado</t>
  </si>
  <si>
    <t>I_zero (Volt)</t>
  </si>
  <si>
    <t>angolo iniziale</t>
  </si>
  <si>
    <t>cosa sono?</t>
  </si>
  <si>
    <t>angolo di mimino</t>
  </si>
  <si>
    <t>I in volt</t>
  </si>
  <si>
    <t>360-299 = 61</t>
  </si>
  <si>
    <t>I secondo massimo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</si>
</sst>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3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4" fontId="1" numFmtId="0" xfId="0" applyBorder="1" applyFill="1" applyFont="1"/>
    <xf borderId="0" fillId="5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3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I_massimi rispetto a massimi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Foglio3!$J$1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FF00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Foglio3!$I$2:$I$17</c:f>
            </c:numRef>
          </c:xVal>
          <c:yVal>
            <c:numRef>
              <c:f>Foglio3!$J$2:$J$17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04183"/>
        <c:axId val="16598810"/>
      </c:scatterChart>
      <c:valAx>
        <c:axId val="654041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massimi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8810"/>
      </c:valAx>
      <c:valAx>
        <c:axId val="165988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I_massimi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041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I_massimi_tot rispetto a P_max_tot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Foglio3!$M$1</c:f>
            </c:strRef>
          </c:tx>
          <c:spPr>
            <a:ln>
              <a:noFill/>
            </a:ln>
          </c:spPr>
          <c:marker>
            <c:symbol val="triangle"/>
            <c:size val="2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trendline>
            <c:name>Linea di tendenza per I_massimi_tot</c:name>
            <c:spPr>
              <a:ln w="38100">
                <a:solidFill>
                  <a:srgbClr val="00FF00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Foglio3!$L$2:$L$68</c:f>
            </c:numRef>
          </c:xVal>
          <c:yVal>
            <c:numRef>
              <c:f>Foglio3!$M$2:$M$68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165200"/>
        <c:axId val="1988316055"/>
      </c:scatterChart>
      <c:valAx>
        <c:axId val="3641652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P_max_tot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316055"/>
      </c:valAx>
      <c:valAx>
        <c:axId val="1988316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I_massimi_tot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1652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 rispetto a P_massimo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Foglio3!$G$1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Foglio3!$F$2:$F$52</c:f>
            </c:numRef>
          </c:xVal>
          <c:yVal>
            <c:numRef>
              <c:f>Foglio3!$G$2:$G$52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144320"/>
        <c:axId val="734968216"/>
      </c:scatterChart>
      <c:valAx>
        <c:axId val="11531443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P_massimo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4968216"/>
      </c:valAx>
      <c:valAx>
        <c:axId val="734968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31443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27</xdr:row>
      <xdr:rowOff>57150</xdr:rowOff>
    </xdr:from>
    <xdr:ext cx="5715000" cy="3533775"/>
    <xdr:graphicFrame>
      <xdr:nvGraphicFramePr>
        <xdr:cNvPr id="2069685906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45</xdr:row>
      <xdr:rowOff>114300</xdr:rowOff>
    </xdr:from>
    <xdr:ext cx="5715000" cy="3533775"/>
    <xdr:graphicFrame>
      <xdr:nvGraphicFramePr>
        <xdr:cNvPr id="1470231680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104775</xdr:colOff>
      <xdr:row>8</xdr:row>
      <xdr:rowOff>104775</xdr:rowOff>
    </xdr:from>
    <xdr:ext cx="5715000" cy="3533775"/>
    <xdr:graphicFrame>
      <xdr:nvGraphicFramePr>
        <xdr:cNvPr id="325105489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0"/>
    <col customWidth="1" min="2" max="2" width="16.67"/>
    <col customWidth="1" min="3" max="3" width="13.11"/>
    <col customWidth="1" min="4" max="5" width="16.67"/>
    <col customWidth="1" min="6" max="6" width="8.56"/>
    <col customWidth="1" min="7" max="7" width="14.78"/>
    <col customWidth="1" min="8" max="8" width="16.44"/>
    <col customWidth="1" min="9" max="9" width="13.0"/>
    <col customWidth="1" min="10" max="26" width="8.56"/>
  </cols>
  <sheetData>
    <row r="1" ht="15.75" customHeight="1">
      <c r="A1" s="1" t="s">
        <v>0</v>
      </c>
      <c r="B1" s="2" t="s">
        <v>1</v>
      </c>
    </row>
    <row r="2" ht="15.75" customHeight="1">
      <c r="A2" s="2" t="s">
        <v>2</v>
      </c>
      <c r="B2" s="2" t="s">
        <v>3</v>
      </c>
    </row>
    <row r="3" ht="15.75" customHeight="1">
      <c r="A3" s="2" t="s">
        <v>4</v>
      </c>
      <c r="B3" s="2" t="s">
        <v>5</v>
      </c>
    </row>
    <row r="4" ht="15.75" customHeight="1">
      <c r="A4" s="2" t="s">
        <v>6</v>
      </c>
      <c r="B4" s="2" t="s">
        <v>7</v>
      </c>
    </row>
    <row r="5" ht="15.75" customHeight="1">
      <c r="A5" s="2" t="s">
        <v>8</v>
      </c>
      <c r="B5" s="2" t="s">
        <v>9</v>
      </c>
      <c r="C5" s="2" t="s">
        <v>10</v>
      </c>
      <c r="D5" s="2" t="s">
        <v>11</v>
      </c>
    </row>
    <row r="6" ht="15.75" customHeight="1">
      <c r="A6" s="2" t="s">
        <v>12</v>
      </c>
      <c r="B6" s="2" t="s">
        <v>13</v>
      </c>
      <c r="C6" s="2" t="s">
        <v>10</v>
      </c>
      <c r="D6" s="2" t="s">
        <v>14</v>
      </c>
    </row>
    <row r="7" ht="15.75" customHeight="1">
      <c r="A7" s="2" t="s">
        <v>15</v>
      </c>
      <c r="B7" s="2" t="s">
        <v>16</v>
      </c>
    </row>
    <row r="8" ht="15.75" customHeight="1"/>
    <row r="9" ht="15.75" customHeight="1"/>
    <row r="10" ht="15.75" customHeight="1">
      <c r="A10" s="2" t="s">
        <v>17</v>
      </c>
    </row>
    <row r="11" ht="15.75" customHeight="1">
      <c r="A11" s="1" t="s">
        <v>18</v>
      </c>
      <c r="D11" s="2" t="s">
        <v>19</v>
      </c>
    </row>
    <row r="12" ht="15.75" customHeight="1">
      <c r="A12" s="2" t="s">
        <v>20</v>
      </c>
      <c r="B12" s="2" t="s">
        <v>21</v>
      </c>
      <c r="D12" s="2" t="s">
        <v>22</v>
      </c>
      <c r="E12" s="2" t="s">
        <v>23</v>
      </c>
      <c r="G12" s="3" t="s">
        <v>24</v>
      </c>
      <c r="H12" s="3" t="s">
        <v>25</v>
      </c>
      <c r="I12" s="3" t="s">
        <v>26</v>
      </c>
    </row>
    <row r="13" ht="15.75" customHeight="1">
      <c r="A13" s="2">
        <v>1.679</v>
      </c>
      <c r="B13" s="2">
        <v>0.0</v>
      </c>
      <c r="D13" s="2">
        <v>1.671</v>
      </c>
      <c r="E13" s="2">
        <v>-5.0</v>
      </c>
      <c r="G13" s="4">
        <f>AVERAGE(D41:D43)</f>
        <v>1.132666667</v>
      </c>
      <c r="H13" s="4">
        <f>STDEV(D41:D43)</f>
        <v>0.005131601439</v>
      </c>
      <c r="I13" s="5">
        <v>-40.0</v>
      </c>
    </row>
    <row r="14" ht="15.75" customHeight="1">
      <c r="A14" s="2">
        <v>1.675</v>
      </c>
      <c r="B14" s="2">
        <v>0.0</v>
      </c>
      <c r="D14" s="2">
        <v>1.668</v>
      </c>
      <c r="E14" s="2">
        <v>-5.0</v>
      </c>
      <c r="G14" s="4">
        <f>AVERAGE(D37:D39)</f>
        <v>1.254</v>
      </c>
      <c r="H14" s="4">
        <f>STDEV(D37:D39)</f>
        <v>0.004582575695</v>
      </c>
      <c r="I14" s="5">
        <v>-35.0</v>
      </c>
    </row>
    <row r="15" ht="15.75" customHeight="1">
      <c r="A15" s="2">
        <v>1.675</v>
      </c>
      <c r="B15" s="2">
        <v>0.0</v>
      </c>
      <c r="C15" s="1">
        <f>AVERAGE(A13:A15)</f>
        <v>1.676333333</v>
      </c>
      <c r="D15" s="2">
        <v>1.665</v>
      </c>
      <c r="E15" s="2">
        <v>-5.0</v>
      </c>
      <c r="G15" s="4">
        <f>AVERAGE(D33:D35)</f>
        <v>1.356666667</v>
      </c>
      <c r="H15" s="4">
        <f>STDEV(D33:D35)</f>
        <v>0.004041451884</v>
      </c>
      <c r="I15" s="5">
        <v>-30.0</v>
      </c>
    </row>
    <row r="16" ht="15.75" customHeight="1">
      <c r="A16" s="2" t="s">
        <v>27</v>
      </c>
      <c r="C16" s="1">
        <f>STDEV(A13:A15)</f>
        <v>0.002309401077</v>
      </c>
      <c r="G16" s="4">
        <f>AVERAGE(D29:D31)</f>
        <v>1.462333333</v>
      </c>
      <c r="H16" s="4">
        <f>STDEV(D29:D31)</f>
        <v>0.001154700538</v>
      </c>
      <c r="I16" s="5">
        <v>-25.0</v>
      </c>
    </row>
    <row r="17" ht="15.75" customHeight="1">
      <c r="A17" s="2">
        <v>1.661</v>
      </c>
      <c r="B17" s="2">
        <v>10.0</v>
      </c>
      <c r="D17" s="2">
        <v>1.646</v>
      </c>
      <c r="E17" s="2">
        <v>-10.0</v>
      </c>
      <c r="G17" s="4">
        <f>AVERAGE(D25:D27)</f>
        <v>1.539</v>
      </c>
      <c r="H17" s="4">
        <f>STDEV(D25:D27)</f>
        <v>0.005</v>
      </c>
      <c r="I17" s="5">
        <v>-20.0</v>
      </c>
    </row>
    <row r="18" ht="15.75" customHeight="1">
      <c r="A18" s="2">
        <v>1.656</v>
      </c>
      <c r="B18" s="2">
        <v>10.0</v>
      </c>
      <c r="D18" s="2">
        <v>1.644</v>
      </c>
      <c r="E18" s="2">
        <v>-10.0</v>
      </c>
      <c r="G18" s="4">
        <f>AVERAGE(D21:D23)</f>
        <v>1.595333333</v>
      </c>
      <c r="H18" s="4">
        <f>STDEV(D21:D23)</f>
        <v>0.001527525232</v>
      </c>
      <c r="I18" s="5">
        <v>-15.0</v>
      </c>
    </row>
    <row r="19" ht="15.75" customHeight="1">
      <c r="A19" s="2">
        <v>1.66</v>
      </c>
      <c r="B19" s="2">
        <v>10.0</v>
      </c>
      <c r="C19" s="1">
        <f>AVERAGE(A17:A19)</f>
        <v>1.659</v>
      </c>
      <c r="D19" s="2">
        <v>1.641</v>
      </c>
      <c r="E19" s="2">
        <v>-10.0</v>
      </c>
      <c r="G19" s="4">
        <f>AVERAGE(D17:D19)</f>
        <v>1.643666667</v>
      </c>
      <c r="H19" s="4">
        <f>STDEV(D17:D19)</f>
        <v>0.002516611478</v>
      </c>
      <c r="I19" s="5">
        <v>-10.0</v>
      </c>
    </row>
    <row r="20" ht="15.75" customHeight="1">
      <c r="C20" s="1">
        <f>STDEV(A17:A19)</f>
        <v>0.002645751311</v>
      </c>
      <c r="G20" s="4">
        <f>AVERAGE(D13:D15)</f>
        <v>1.668</v>
      </c>
      <c r="H20" s="4">
        <f>STDEV(D13:D15)</f>
        <v>0.003</v>
      </c>
      <c r="I20" s="5">
        <v>-5.0</v>
      </c>
    </row>
    <row r="21" ht="15.75" customHeight="1">
      <c r="A21" s="2">
        <v>1.593</v>
      </c>
      <c r="B21" s="2">
        <v>20.0</v>
      </c>
      <c r="D21" s="2">
        <v>1.595</v>
      </c>
      <c r="E21" s="2">
        <v>-15.0</v>
      </c>
      <c r="G21" s="4">
        <f>AVERAGE(A13:A15)</f>
        <v>1.676333333</v>
      </c>
      <c r="H21" s="4">
        <f>STDEV(A13:A15)</f>
        <v>0.002309401077</v>
      </c>
      <c r="I21" s="5">
        <v>0.0</v>
      </c>
    </row>
    <row r="22" ht="15.75" customHeight="1">
      <c r="A22" s="2">
        <v>1.577</v>
      </c>
      <c r="B22" s="2">
        <v>20.0</v>
      </c>
      <c r="D22" s="2">
        <v>1.597</v>
      </c>
      <c r="E22" s="2">
        <v>-15.0</v>
      </c>
      <c r="G22" s="4">
        <f>AVERAGE(A45:A47)</f>
        <v>1.678666667</v>
      </c>
      <c r="H22" s="4">
        <f>STDEV(A45:A47)</f>
        <v>0.001154700538</v>
      </c>
      <c r="I22" s="5">
        <v>5.0</v>
      </c>
    </row>
    <row r="23" ht="15.75" customHeight="1">
      <c r="A23" s="2">
        <v>1.59</v>
      </c>
      <c r="B23" s="2">
        <v>20.0</v>
      </c>
      <c r="C23" s="1">
        <f>AVERAGE(A21:A23)</f>
        <v>1.586666667</v>
      </c>
      <c r="D23" s="2">
        <v>1.594</v>
      </c>
      <c r="E23" s="2">
        <v>-15.0</v>
      </c>
      <c r="G23" s="4">
        <f>AVERAGE(A17:A19)</f>
        <v>1.659</v>
      </c>
      <c r="H23" s="4">
        <f>STDEV(A17:A19)</f>
        <v>0.002645751311</v>
      </c>
      <c r="I23" s="5">
        <v>10.0</v>
      </c>
    </row>
    <row r="24" ht="15.75" customHeight="1">
      <c r="C24" s="1">
        <f>STDEV(A21:A23)</f>
        <v>0.008504900548</v>
      </c>
      <c r="G24" s="4">
        <f>AVERAGE(A41:A43)</f>
        <v>1.621333333</v>
      </c>
      <c r="H24" s="4">
        <f>STDEV(A41:A43)</f>
        <v>0.003511884584</v>
      </c>
      <c r="I24" s="5">
        <v>15.0</v>
      </c>
    </row>
    <row r="25" ht="15.75" customHeight="1">
      <c r="A25" s="2">
        <v>1.463</v>
      </c>
      <c r="B25" s="2">
        <v>30.0</v>
      </c>
      <c r="D25" s="2">
        <v>1.534</v>
      </c>
      <c r="E25" s="2">
        <v>-20.0</v>
      </c>
      <c r="G25" s="4">
        <f>AVERAGE(A21:A23)</f>
        <v>1.586666667</v>
      </c>
      <c r="H25" s="4">
        <f>STDEV(A21:A23)</f>
        <v>0.008504900548</v>
      </c>
      <c r="I25" s="5">
        <v>20.0</v>
      </c>
    </row>
    <row r="26" ht="15.75" customHeight="1">
      <c r="A26" s="2">
        <v>1.456</v>
      </c>
      <c r="B26" s="2">
        <v>30.0</v>
      </c>
      <c r="D26" s="2">
        <v>1.539</v>
      </c>
      <c r="E26" s="2">
        <v>-20.0</v>
      </c>
      <c r="G26" s="4">
        <f>AVERAGE(A37:A39)</f>
        <v>1.510333333</v>
      </c>
      <c r="H26" s="4">
        <f>STDEV(A37:A39)</f>
        <v>0.007023769169</v>
      </c>
      <c r="I26" s="5">
        <v>25.0</v>
      </c>
    </row>
    <row r="27" ht="15.75" customHeight="1">
      <c r="A27" s="2">
        <v>1.45</v>
      </c>
      <c r="B27" s="2">
        <v>30.0</v>
      </c>
      <c r="C27" s="1">
        <f>AVERAGE(A25:A27)</f>
        <v>1.456333333</v>
      </c>
      <c r="D27" s="2">
        <v>1.544</v>
      </c>
      <c r="E27" s="2">
        <v>-20.0</v>
      </c>
      <c r="G27" s="4">
        <f>AVERAGE(A25:A27)</f>
        <v>1.456333333</v>
      </c>
      <c r="H27" s="4">
        <f>STDEV(A25:A27)</f>
        <v>0.006506407099</v>
      </c>
      <c r="I27" s="5">
        <v>30.0</v>
      </c>
    </row>
    <row r="28" ht="15.75" customHeight="1">
      <c r="C28" s="1">
        <f>STDEV(A25:A27)</f>
        <v>0.006506407099</v>
      </c>
      <c r="G28" s="4">
        <f>AVERAGE(A33:A35)</f>
        <v>1.351</v>
      </c>
      <c r="H28" s="4">
        <f>STDEV(A33:A35)</f>
        <v>0.001732050808</v>
      </c>
      <c r="I28" s="5">
        <v>35.0</v>
      </c>
    </row>
    <row r="29" ht="15.75" customHeight="1">
      <c r="A29" s="2">
        <v>1.248</v>
      </c>
      <c r="B29" s="2">
        <v>40.0</v>
      </c>
      <c r="D29" s="2">
        <v>1.463</v>
      </c>
      <c r="E29" s="2">
        <v>-25.0</v>
      </c>
      <c r="G29" s="4">
        <f>AVERAGE(A29:A31)</f>
        <v>1.248</v>
      </c>
      <c r="H29" s="4">
        <f>STDEV(A29:A31)</f>
        <v>0.019</v>
      </c>
      <c r="I29" s="5">
        <v>40.0</v>
      </c>
    </row>
    <row r="30" ht="15.75" customHeight="1">
      <c r="A30" s="2">
        <v>1.229</v>
      </c>
      <c r="B30" s="2">
        <v>40.0</v>
      </c>
      <c r="D30" s="2">
        <v>1.463</v>
      </c>
      <c r="E30" s="2">
        <v>-25.0</v>
      </c>
    </row>
    <row r="31" ht="15.75" customHeight="1">
      <c r="A31" s="2">
        <v>1.267</v>
      </c>
      <c r="B31" s="2">
        <v>40.0</v>
      </c>
      <c r="C31" s="1">
        <f>AVERAGE(A29:A31)</f>
        <v>1.248</v>
      </c>
      <c r="D31" s="2">
        <v>1.461</v>
      </c>
      <c r="E31" s="2">
        <v>-25.0</v>
      </c>
    </row>
    <row r="32" ht="15.75" customHeight="1">
      <c r="C32" s="1">
        <f>STDEV(A29:A31)</f>
        <v>0.019</v>
      </c>
    </row>
    <row r="33" ht="15.75" customHeight="1">
      <c r="A33" s="2">
        <v>1.349</v>
      </c>
      <c r="B33" s="2">
        <v>35.0</v>
      </c>
      <c r="D33" s="2">
        <v>1.359</v>
      </c>
      <c r="E33" s="2">
        <v>-30.0</v>
      </c>
    </row>
    <row r="34" ht="15.75" customHeight="1">
      <c r="A34" s="2">
        <v>1.352</v>
      </c>
      <c r="B34" s="2">
        <v>35.0</v>
      </c>
      <c r="D34" s="2">
        <v>1.352</v>
      </c>
      <c r="E34" s="2">
        <v>-30.0</v>
      </c>
    </row>
    <row r="35" ht="15.75" customHeight="1">
      <c r="A35" s="2">
        <v>1.352</v>
      </c>
      <c r="B35" s="2">
        <v>35.0</v>
      </c>
      <c r="C35" s="1">
        <f>AVERAGE(A33:A35)</f>
        <v>1.351</v>
      </c>
      <c r="D35" s="2">
        <v>1.359</v>
      </c>
      <c r="E35" s="2">
        <v>-30.0</v>
      </c>
    </row>
    <row r="36" ht="15.75" customHeight="1">
      <c r="C36" s="1">
        <f>STDEV(A33:A35)</f>
        <v>0.001732050808</v>
      </c>
    </row>
    <row r="37" ht="15.75" customHeight="1">
      <c r="A37" s="2">
        <v>1.517</v>
      </c>
      <c r="B37" s="2">
        <v>25.0</v>
      </c>
      <c r="D37" s="2">
        <v>1.255</v>
      </c>
      <c r="E37" s="2">
        <v>-35.0</v>
      </c>
    </row>
    <row r="38" ht="15.75" customHeight="1">
      <c r="A38" s="2">
        <v>1.503</v>
      </c>
      <c r="B38" s="2">
        <v>25.0</v>
      </c>
      <c r="D38" s="2">
        <v>1.249</v>
      </c>
      <c r="E38" s="2">
        <v>-35.0</v>
      </c>
    </row>
    <row r="39" ht="15.75" customHeight="1">
      <c r="A39" s="2">
        <v>1.511</v>
      </c>
      <c r="B39" s="2">
        <v>25.0</v>
      </c>
      <c r="C39" s="1">
        <f>AVERAGE(A37:A39)</f>
        <v>1.510333333</v>
      </c>
      <c r="D39" s="2">
        <v>1.258</v>
      </c>
      <c r="E39" s="2">
        <v>-35.0</v>
      </c>
    </row>
    <row r="40" ht="15.75" customHeight="1">
      <c r="C40" s="1">
        <f>STDEV(A37:A39)</f>
        <v>0.007023769169</v>
      </c>
    </row>
    <row r="41" ht="15.75" customHeight="1">
      <c r="A41" s="2">
        <v>1.618</v>
      </c>
      <c r="B41" s="2">
        <v>15.0</v>
      </c>
      <c r="D41" s="2">
        <v>1.134</v>
      </c>
      <c r="E41" s="2">
        <v>-40.0</v>
      </c>
    </row>
    <row r="42" ht="15.75" customHeight="1">
      <c r="A42" s="2">
        <v>1.621</v>
      </c>
      <c r="B42" s="2">
        <v>15.0</v>
      </c>
      <c r="D42" s="2">
        <v>1.137</v>
      </c>
      <c r="E42" s="2">
        <v>-40.0</v>
      </c>
    </row>
    <row r="43" ht="15.75" customHeight="1">
      <c r="A43" s="2">
        <v>1.625</v>
      </c>
      <c r="B43" s="2">
        <v>15.0</v>
      </c>
      <c r="C43" s="1">
        <f>AVERAGE(A41:A43)</f>
        <v>1.621333333</v>
      </c>
      <c r="D43" s="2">
        <v>1.127</v>
      </c>
      <c r="E43" s="2">
        <v>-40.0</v>
      </c>
    </row>
    <row r="44" ht="15.75" customHeight="1">
      <c r="C44" s="1">
        <f>STDEV(A41:A43)</f>
        <v>0.003511884584</v>
      </c>
    </row>
    <row r="45" ht="15.75" customHeight="1">
      <c r="A45" s="2">
        <v>1.678</v>
      </c>
      <c r="B45" s="2">
        <v>5.0</v>
      </c>
    </row>
    <row r="46" ht="15.75" customHeight="1">
      <c r="A46" s="2">
        <v>1.678</v>
      </c>
      <c r="B46" s="2">
        <v>5.0</v>
      </c>
    </row>
    <row r="47" ht="15.75" customHeight="1">
      <c r="A47" s="2">
        <v>1.68</v>
      </c>
      <c r="B47" s="2">
        <v>5.0</v>
      </c>
      <c r="C47" s="1">
        <f>AVERAGE(A45:A47)</f>
        <v>1.678666667</v>
      </c>
    </row>
    <row r="48" ht="15.75" customHeight="1">
      <c r="C48" s="1">
        <f>STDEV(A45:A47)</f>
        <v>0.001154700538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0"/>
    <col customWidth="1" min="2" max="3" width="16.67"/>
    <col customWidth="1" min="4" max="4" width="8.56"/>
    <col customWidth="1" min="5" max="5" width="16.44"/>
    <col customWidth="1" min="6" max="6" width="16.67"/>
    <col customWidth="1" min="7" max="7" width="8.56"/>
    <col customWidth="1" min="8" max="8" width="14.11"/>
    <col customWidth="1" min="9" max="9" width="15.0"/>
    <col customWidth="1" min="10" max="10" width="13.89"/>
    <col customWidth="1" min="11" max="26" width="8.56"/>
  </cols>
  <sheetData>
    <row r="1" ht="15.75" customHeight="1">
      <c r="A1" s="2" t="s">
        <v>28</v>
      </c>
      <c r="C1" s="2" t="s">
        <v>29</v>
      </c>
      <c r="D1" s="2" t="s">
        <v>30</v>
      </c>
      <c r="F1" s="2" t="s">
        <v>31</v>
      </c>
    </row>
    <row r="2" ht="15.75" customHeight="1">
      <c r="A2" s="2" t="s">
        <v>32</v>
      </c>
    </row>
    <row r="3" ht="15.75" customHeight="1">
      <c r="E3" s="2" t="s">
        <v>33</v>
      </c>
    </row>
    <row r="4" ht="15.75" customHeight="1">
      <c r="A4" s="2" t="s">
        <v>34</v>
      </c>
      <c r="B4" s="2" t="s">
        <v>21</v>
      </c>
      <c r="E4" s="2" t="s">
        <v>35</v>
      </c>
      <c r="F4" s="2" t="s">
        <v>36</v>
      </c>
      <c r="H4" s="3" t="s">
        <v>24</v>
      </c>
      <c r="I4" s="3" t="s">
        <v>37</v>
      </c>
      <c r="J4" s="3" t="s">
        <v>38</v>
      </c>
    </row>
    <row r="5" ht="15.75" customHeight="1">
      <c r="A5" s="2">
        <v>1.356</v>
      </c>
      <c r="B5" s="2">
        <v>170.0</v>
      </c>
      <c r="E5" s="2">
        <v>1.311</v>
      </c>
      <c r="F5" s="2">
        <v>190.0</v>
      </c>
      <c r="H5" s="4">
        <f>AVERAGE(A29:A31)</f>
        <v>0.05</v>
      </c>
      <c r="I5" s="4">
        <f>STDEV(A29:A31)</f>
        <v>0.003605551275</v>
      </c>
      <c r="J5" s="5">
        <v>130.0</v>
      </c>
    </row>
    <row r="6" ht="15.75" customHeight="1">
      <c r="A6" s="2">
        <v>1.357</v>
      </c>
      <c r="B6" s="2">
        <v>170.0</v>
      </c>
      <c r="E6" s="2">
        <v>1.3</v>
      </c>
      <c r="F6" s="2">
        <v>190.0</v>
      </c>
      <c r="H6" s="4">
        <f>AVERAGE(A23:A25)</f>
        <v>0.1303333333</v>
      </c>
      <c r="I6" s="4">
        <f>STDEV(A23:A25)</f>
        <v>0.003511884584</v>
      </c>
      <c r="J6" s="5">
        <v>140.0</v>
      </c>
    </row>
    <row r="7" ht="15.75" customHeight="1">
      <c r="A7" s="2">
        <v>1.354</v>
      </c>
      <c r="B7" s="2">
        <v>170.0</v>
      </c>
      <c r="E7" s="2">
        <v>1.322</v>
      </c>
      <c r="F7" s="2">
        <v>190.0</v>
      </c>
      <c r="H7" s="4">
        <f>AVERAGE(A17:A19)</f>
        <v>0.3253333333</v>
      </c>
      <c r="I7" s="4">
        <f>STDEV(A17:A19)</f>
        <v>0.002516611478</v>
      </c>
      <c r="J7" s="5">
        <v>150.0</v>
      </c>
    </row>
    <row r="8" ht="15.75" customHeight="1">
      <c r="A8" s="1">
        <f>AVERAGE(A5:A7)</f>
        <v>1.355666667</v>
      </c>
      <c r="E8" s="1">
        <f>AVERAGE(E5:E7)</f>
        <v>1.311</v>
      </c>
      <c r="H8" s="4">
        <f>AVERAGE(A11:A13)</f>
        <v>0.766</v>
      </c>
      <c r="I8" s="4">
        <f>STDEV(A11:A13)</f>
        <v>0.004358898944</v>
      </c>
      <c r="J8" s="5">
        <v>160.0</v>
      </c>
    </row>
    <row r="9" ht="15.75" customHeight="1">
      <c r="A9" s="1">
        <f>STDEV(A5:A7)</f>
        <v>0.001527525232</v>
      </c>
      <c r="E9" s="1">
        <f>STDEV(E5:E7)</f>
        <v>0.011</v>
      </c>
      <c r="H9" s="4">
        <f>AVERAGE(A5:A7)</f>
        <v>1.355666667</v>
      </c>
      <c r="I9" s="4">
        <f>STDEV(A5:A7)</f>
        <v>0.001527525232</v>
      </c>
      <c r="J9" s="5">
        <v>170.0</v>
      </c>
    </row>
    <row r="10" ht="15.75" customHeight="1">
      <c r="H10" s="4">
        <f>AVERAGE(A35:A37)</f>
        <v>1.584</v>
      </c>
      <c r="I10" s="4">
        <f>STDEV(A35:A37)</f>
        <v>0.003605551275</v>
      </c>
      <c r="J10" s="5">
        <v>180.0</v>
      </c>
    </row>
    <row r="11" ht="15.75" customHeight="1">
      <c r="A11" s="2">
        <v>0.763</v>
      </c>
      <c r="B11" s="2">
        <v>160.0</v>
      </c>
      <c r="E11" s="2">
        <v>0.674</v>
      </c>
      <c r="F11" s="2">
        <v>200.0</v>
      </c>
      <c r="H11" s="4">
        <f>AVERAGE(E5:E7)</f>
        <v>1.311</v>
      </c>
      <c r="I11" s="4">
        <f>STDEV(E5:E7)</f>
        <v>0.011</v>
      </c>
      <c r="J11" s="5">
        <v>190.0</v>
      </c>
    </row>
    <row r="12" ht="15.75" customHeight="1">
      <c r="A12" s="2">
        <v>0.771</v>
      </c>
      <c r="B12" s="2">
        <v>160.0</v>
      </c>
      <c r="E12" s="2">
        <v>0.677</v>
      </c>
      <c r="F12" s="2">
        <v>200.0</v>
      </c>
      <c r="H12" s="4">
        <f>AVERAGE(E11:E13)</f>
        <v>0.667</v>
      </c>
      <c r="I12" s="5">
        <f>STDEV(E11:E13)</f>
        <v>0.01479864859</v>
      </c>
      <c r="J12" s="5">
        <v>200.0</v>
      </c>
    </row>
    <row r="13" ht="15.75" customHeight="1">
      <c r="A13" s="2">
        <v>0.764</v>
      </c>
      <c r="B13" s="2">
        <v>160.0</v>
      </c>
      <c r="E13" s="2">
        <v>0.65</v>
      </c>
      <c r="F13" s="2">
        <v>200.0</v>
      </c>
      <c r="H13" s="4">
        <f>AVERAGE(E17:E19)</f>
        <v>0.3133333333</v>
      </c>
      <c r="I13" s="4">
        <f>STDEV(E17:E19)</f>
        <v>0.004041451884</v>
      </c>
      <c r="J13" s="5">
        <v>210.0</v>
      </c>
    </row>
    <row r="14" ht="15.75" customHeight="1">
      <c r="A14" s="1">
        <f>AVERAGE(A11:A13)</f>
        <v>0.766</v>
      </c>
      <c r="E14" s="1">
        <f>AVERAGE(E11:E13)</f>
        <v>0.667</v>
      </c>
      <c r="H14" s="4">
        <f>AVERAGE(E23:E25)</f>
        <v>0.118</v>
      </c>
      <c r="I14" s="4">
        <f>STDEV(E23:E25)</f>
        <v>0.002</v>
      </c>
      <c r="J14" s="5">
        <v>220.0</v>
      </c>
    </row>
    <row r="15" ht="15.75" customHeight="1">
      <c r="A15" s="1">
        <f>STDEV(A11:A13)</f>
        <v>0.004358898944</v>
      </c>
      <c r="E15" s="1">
        <f>STDEV(E11:E13)</f>
        <v>0.01479864859</v>
      </c>
      <c r="H15" s="4">
        <f>AVERAGE(E29:E31)</f>
        <v>0.04533333333</v>
      </c>
      <c r="I15" s="4">
        <f>STDEV(E29:E31)</f>
        <v>0.001527525232</v>
      </c>
      <c r="J15" s="5">
        <v>230.0</v>
      </c>
    </row>
    <row r="16" ht="15.75" customHeight="1">
      <c r="E16" s="6"/>
      <c r="H16" s="4"/>
      <c r="I16" s="4"/>
      <c r="J16" s="4"/>
    </row>
    <row r="17" ht="15.75" customHeight="1">
      <c r="A17" s="2">
        <v>0.323</v>
      </c>
      <c r="B17" s="2">
        <v>150.0</v>
      </c>
      <c r="E17" s="2">
        <v>0.309</v>
      </c>
      <c r="F17" s="2">
        <v>210.0</v>
      </c>
      <c r="H17" s="4"/>
      <c r="I17" s="4"/>
      <c r="J17" s="4"/>
    </row>
    <row r="18" ht="15.75" customHeight="1">
      <c r="A18" s="2">
        <v>0.328</v>
      </c>
      <c r="B18" s="2">
        <v>150.0</v>
      </c>
      <c r="E18" s="2">
        <v>0.317</v>
      </c>
      <c r="F18" s="2">
        <v>210.0</v>
      </c>
      <c r="H18" s="4"/>
      <c r="I18" s="4"/>
      <c r="J18" s="4"/>
    </row>
    <row r="19" ht="15.75" customHeight="1">
      <c r="A19" s="2">
        <v>0.325</v>
      </c>
      <c r="B19" s="2">
        <v>150.0</v>
      </c>
      <c r="E19" s="2">
        <v>0.314</v>
      </c>
      <c r="F19" s="2">
        <v>210.0</v>
      </c>
    </row>
    <row r="20" ht="15.75" customHeight="1">
      <c r="A20" s="1">
        <f>AVERAGE(A17:A19)</f>
        <v>0.3253333333</v>
      </c>
      <c r="E20" s="1">
        <f>AVERAGE(E17:E19)</f>
        <v>0.3133333333</v>
      </c>
    </row>
    <row r="21" ht="15.75" customHeight="1">
      <c r="A21" s="1">
        <f>STDEV(A17:A19)</f>
        <v>0.002516611478</v>
      </c>
      <c r="E21" s="1">
        <f>STDEV(E17:E19)</f>
        <v>0.004041451884</v>
      </c>
    </row>
    <row r="22" ht="15.75" customHeight="1"/>
    <row r="23" ht="15.75" customHeight="1">
      <c r="A23" s="2">
        <v>0.13</v>
      </c>
      <c r="B23" s="2">
        <v>140.0</v>
      </c>
      <c r="E23" s="2">
        <v>0.118</v>
      </c>
      <c r="F23" s="2">
        <v>220.0</v>
      </c>
    </row>
    <row r="24" ht="15.75" customHeight="1">
      <c r="A24" s="2">
        <v>0.127</v>
      </c>
      <c r="B24" s="2">
        <v>140.0</v>
      </c>
      <c r="E24" s="2">
        <v>0.116</v>
      </c>
      <c r="F24" s="2">
        <v>220.0</v>
      </c>
    </row>
    <row r="25" ht="15.75" customHeight="1">
      <c r="A25" s="2">
        <v>0.134</v>
      </c>
      <c r="B25" s="2">
        <v>140.0</v>
      </c>
      <c r="E25" s="2">
        <v>0.12</v>
      </c>
      <c r="F25" s="2">
        <v>220.0</v>
      </c>
    </row>
    <row r="26" ht="15.75" customHeight="1">
      <c r="A26" s="1">
        <f>AVERAGE(A23:A25)</f>
        <v>0.1303333333</v>
      </c>
      <c r="E26" s="1">
        <f>AVERAGE(E23:E25)</f>
        <v>0.118</v>
      </c>
    </row>
    <row r="27" ht="15.75" customHeight="1">
      <c r="A27" s="1">
        <f>STDEV(A23:A25)</f>
        <v>0.003511884584</v>
      </c>
      <c r="E27" s="1">
        <f>STDEV(E23:E25)</f>
        <v>0.002</v>
      </c>
    </row>
    <row r="28" ht="15.75" customHeight="1"/>
    <row r="29" ht="15.75" customHeight="1">
      <c r="A29" s="2">
        <v>0.049</v>
      </c>
      <c r="B29" s="2">
        <v>130.0</v>
      </c>
      <c r="E29" s="2">
        <v>0.044</v>
      </c>
      <c r="F29" s="2">
        <v>230.0</v>
      </c>
    </row>
    <row r="30" ht="15.75" customHeight="1">
      <c r="A30" s="2">
        <v>0.054</v>
      </c>
      <c r="B30" s="2">
        <v>130.0</v>
      </c>
      <c r="E30" s="2">
        <v>0.047</v>
      </c>
      <c r="F30" s="2">
        <v>230.0</v>
      </c>
    </row>
    <row r="31" ht="15.75" customHeight="1">
      <c r="A31" s="2">
        <v>0.047</v>
      </c>
      <c r="B31" s="2">
        <v>130.0</v>
      </c>
      <c r="E31" s="2">
        <v>0.045</v>
      </c>
      <c r="F31" s="2">
        <v>230.0</v>
      </c>
    </row>
    <row r="32" ht="15.75" customHeight="1">
      <c r="A32" s="1">
        <f>AVERAGE(A29:A31)</f>
        <v>0.05</v>
      </c>
      <c r="E32" s="1">
        <f>AVERAGE(E29:E31)</f>
        <v>0.04533333333</v>
      </c>
    </row>
    <row r="33" ht="15.75" customHeight="1">
      <c r="A33" s="1">
        <f>STDEV(A29:A31)</f>
        <v>0.003605551275</v>
      </c>
      <c r="E33" s="1">
        <f>STDEV(E29:E31)</f>
        <v>0.001527525232</v>
      </c>
    </row>
    <row r="34" ht="15.75" customHeight="1"/>
    <row r="35" ht="15.75" customHeight="1">
      <c r="A35" s="2">
        <v>1.588</v>
      </c>
      <c r="B35" s="2">
        <v>180.0</v>
      </c>
    </row>
    <row r="36" ht="15.75" customHeight="1">
      <c r="A36" s="2">
        <v>1.581</v>
      </c>
      <c r="B36" s="2">
        <v>180.0</v>
      </c>
    </row>
    <row r="37" ht="15.75" customHeight="1">
      <c r="A37" s="2">
        <v>1.583</v>
      </c>
      <c r="B37" s="2">
        <v>180.0</v>
      </c>
    </row>
    <row r="38" ht="15.75" customHeight="1">
      <c r="A38" s="1">
        <f>AVERAGE(A35:A37)</f>
        <v>1.584</v>
      </c>
    </row>
    <row r="39" ht="15.75" customHeight="1">
      <c r="A39" s="1">
        <f>STDEV(A35:A37)</f>
        <v>0.003605551275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89"/>
    <col customWidth="1" min="2" max="3" width="16.67"/>
    <col customWidth="1" min="4" max="4" width="15.22"/>
    <col customWidth="1" min="5" max="5" width="8.56"/>
    <col customWidth="1" min="6" max="6" width="17.0"/>
    <col customWidth="1" min="7" max="7" width="16.89"/>
    <col customWidth="1" min="8" max="8" width="8.56"/>
    <col customWidth="1" min="9" max="9" width="17.0"/>
    <col customWidth="1" min="10" max="10" width="16.78"/>
    <col customWidth="1" min="11" max="11" width="8.56"/>
    <col customWidth="1" min="12" max="12" width="17.89"/>
    <col customWidth="1" min="13" max="13" width="17.11"/>
    <col customWidth="1" min="14" max="14" width="8.56"/>
    <col customWidth="1" min="15" max="15" width="17.89"/>
    <col customWidth="1" min="16" max="16" width="12.33"/>
    <col customWidth="1" min="17" max="17" width="10.44"/>
    <col customWidth="1" min="18" max="26" width="8.56"/>
  </cols>
  <sheetData>
    <row r="1" ht="15.75" customHeight="1">
      <c r="A1" s="2" t="s">
        <v>39</v>
      </c>
      <c r="F1" s="3" t="s">
        <v>40</v>
      </c>
      <c r="G1" s="3" t="s">
        <v>41</v>
      </c>
      <c r="I1" s="3" t="s">
        <v>42</v>
      </c>
      <c r="J1" s="3" t="s">
        <v>43</v>
      </c>
      <c r="L1" s="7" t="s">
        <v>44</v>
      </c>
      <c r="M1" s="7" t="s">
        <v>45</v>
      </c>
      <c r="O1" s="8"/>
    </row>
    <row r="2" ht="15.75" customHeight="1">
      <c r="F2" s="5">
        <v>80.0</v>
      </c>
      <c r="G2" s="4">
        <v>1.776</v>
      </c>
      <c r="I2" s="4">
        <v>64.7</v>
      </c>
      <c r="J2" s="4">
        <v>2.389</v>
      </c>
      <c r="L2" s="4">
        <v>64.7</v>
      </c>
      <c r="M2" s="4">
        <v>2.389</v>
      </c>
      <c r="O2" s="8"/>
    </row>
    <row r="3" ht="15.75" customHeight="1">
      <c r="A3" s="9" t="s">
        <v>46</v>
      </c>
      <c r="B3" s="8" t="s">
        <v>47</v>
      </c>
      <c r="D3" s="5" t="s">
        <v>48</v>
      </c>
      <c r="F3" s="5">
        <v>80.2</v>
      </c>
      <c r="G3" s="4">
        <v>1.766</v>
      </c>
      <c r="I3" s="4">
        <v>66.1</v>
      </c>
      <c r="J3" s="4">
        <v>2.274</v>
      </c>
      <c r="L3" s="4">
        <v>66.1</v>
      </c>
      <c r="M3" s="4">
        <v>2.274</v>
      </c>
      <c r="O3" s="8"/>
    </row>
    <row r="4" ht="15.75" customHeight="1">
      <c r="A4" s="9" t="s">
        <v>49</v>
      </c>
      <c r="B4" s="8" t="s">
        <v>50</v>
      </c>
      <c r="D4" s="4">
        <v>16.3</v>
      </c>
      <c r="F4" s="5">
        <v>80.4</v>
      </c>
      <c r="G4" s="4">
        <v>1.749</v>
      </c>
      <c r="I4" s="4">
        <v>67.4</v>
      </c>
      <c r="J4" s="4">
        <v>2.212</v>
      </c>
      <c r="L4" s="4">
        <v>67.4</v>
      </c>
      <c r="M4" s="4">
        <v>2.212</v>
      </c>
      <c r="O4" s="8"/>
    </row>
    <row r="5" ht="15.75" customHeight="1">
      <c r="A5" s="9" t="s">
        <v>51</v>
      </c>
      <c r="B5" s="8" t="s">
        <v>31</v>
      </c>
      <c r="D5" s="4">
        <v>16.2</v>
      </c>
      <c r="F5" s="5">
        <v>80.6</v>
      </c>
      <c r="G5" s="4">
        <v>1.745</v>
      </c>
      <c r="I5" s="4">
        <v>69.5</v>
      </c>
      <c r="J5" s="4">
        <v>2.266</v>
      </c>
      <c r="L5" s="4">
        <v>69.5</v>
      </c>
      <c r="M5" s="4">
        <v>2.266</v>
      </c>
      <c r="O5" s="8"/>
    </row>
    <row r="6" ht="15.75" customHeight="1">
      <c r="D6" s="5">
        <v>16.2</v>
      </c>
      <c r="F6" s="5">
        <v>80.8</v>
      </c>
      <c r="G6" s="4">
        <v>1.744</v>
      </c>
      <c r="I6" s="4">
        <v>72.4</v>
      </c>
      <c r="J6" s="4">
        <v>2.194</v>
      </c>
      <c r="L6" s="4">
        <v>72.4</v>
      </c>
      <c r="M6" s="4">
        <v>2.194</v>
      </c>
      <c r="O6" s="8"/>
    </row>
    <row r="7" ht="15.75" customHeight="1">
      <c r="C7" s="9" t="s">
        <v>52</v>
      </c>
      <c r="D7" s="4">
        <f>AVERAGE(D4:D6)</f>
        <v>16.23333333</v>
      </c>
      <c r="F7" s="5">
        <v>81.0</v>
      </c>
      <c r="G7" s="4">
        <v>1.74</v>
      </c>
      <c r="I7" s="4">
        <v>73.8</v>
      </c>
      <c r="J7" s="4">
        <v>2.133</v>
      </c>
      <c r="L7" s="4">
        <v>73.8</v>
      </c>
      <c r="M7" s="4">
        <v>2.133</v>
      </c>
      <c r="O7" s="8"/>
      <c r="P7" s="5" t="s">
        <v>53</v>
      </c>
      <c r="Q7" s="5" t="s">
        <v>54</v>
      </c>
    </row>
    <row r="8" ht="15.75" customHeight="1">
      <c r="C8" s="9" t="s">
        <v>55</v>
      </c>
      <c r="D8" s="4">
        <f>STDEV(D4:D6)</f>
        <v>0.05773502692</v>
      </c>
      <c r="F8" s="5">
        <v>81.2</v>
      </c>
      <c r="G8" s="4">
        <v>1.73</v>
      </c>
      <c r="I8" s="4">
        <v>75.1</v>
      </c>
      <c r="J8" s="4">
        <v>2.038</v>
      </c>
      <c r="L8" s="4">
        <v>75.1</v>
      </c>
      <c r="M8" s="4">
        <v>2.038</v>
      </c>
      <c r="O8" s="8" t="s">
        <v>56</v>
      </c>
      <c r="P8" s="4">
        <v>76.6</v>
      </c>
      <c r="Q8" s="5">
        <v>1.198</v>
      </c>
    </row>
    <row r="9" ht="15.75" customHeight="1">
      <c r="F9" s="5">
        <v>81.4</v>
      </c>
      <c r="G9" s="4">
        <v>1.714</v>
      </c>
      <c r="I9" s="4">
        <v>78.0</v>
      </c>
      <c r="J9" s="4">
        <v>1.895</v>
      </c>
      <c r="L9" s="4">
        <v>78.0</v>
      </c>
      <c r="M9" s="4">
        <v>1.895</v>
      </c>
    </row>
    <row r="10" ht="15.75" customHeight="1">
      <c r="F10" s="5">
        <v>81.6</v>
      </c>
      <c r="G10" s="4">
        <v>1.714</v>
      </c>
      <c r="I10" s="4">
        <v>90.9</v>
      </c>
      <c r="J10" s="4">
        <v>1.548</v>
      </c>
      <c r="L10" s="5">
        <v>80.0</v>
      </c>
      <c r="M10" s="4">
        <v>1.776</v>
      </c>
      <c r="O10" s="8"/>
    </row>
    <row r="11" ht="15.75" customHeight="1">
      <c r="F11" s="5">
        <v>81.8</v>
      </c>
      <c r="G11" s="4">
        <v>1.703</v>
      </c>
      <c r="I11" s="4">
        <v>92.2</v>
      </c>
      <c r="J11" s="4">
        <v>1.474</v>
      </c>
      <c r="L11" s="5">
        <v>80.2</v>
      </c>
      <c r="M11" s="4">
        <v>1.766</v>
      </c>
    </row>
    <row r="12" ht="15.75" customHeight="1">
      <c r="F12" s="5">
        <v>82.0</v>
      </c>
      <c r="G12" s="4">
        <v>1.683</v>
      </c>
      <c r="I12" s="4">
        <v>93.8</v>
      </c>
      <c r="J12" s="4">
        <v>1.492</v>
      </c>
      <c r="L12" s="5">
        <v>80.4</v>
      </c>
      <c r="M12" s="4">
        <v>1.749</v>
      </c>
    </row>
    <row r="13" ht="15.75" customHeight="1">
      <c r="F13" s="5">
        <v>82.2</v>
      </c>
      <c r="G13" s="4">
        <v>1.682</v>
      </c>
      <c r="I13" s="4">
        <v>95.4</v>
      </c>
      <c r="J13" s="4">
        <v>1.49</v>
      </c>
      <c r="L13" s="5">
        <v>80.6</v>
      </c>
      <c r="M13" s="4">
        <v>1.745</v>
      </c>
    </row>
    <row r="14" ht="15.75" customHeight="1">
      <c r="F14" s="5">
        <v>82.3999999999999</v>
      </c>
      <c r="G14" s="4">
        <v>1.682</v>
      </c>
      <c r="I14" s="4">
        <v>97.0</v>
      </c>
      <c r="J14" s="4">
        <v>1.462</v>
      </c>
      <c r="L14" s="5">
        <v>80.8</v>
      </c>
      <c r="M14" s="4">
        <v>1.744</v>
      </c>
    </row>
    <row r="15" ht="15.75" customHeight="1">
      <c r="F15" s="5">
        <v>82.5999999999999</v>
      </c>
      <c r="G15" s="4">
        <v>1.675</v>
      </c>
      <c r="I15" s="4">
        <v>98.4</v>
      </c>
      <c r="J15" s="4">
        <v>1.379</v>
      </c>
      <c r="L15" s="5">
        <v>81.0</v>
      </c>
      <c r="M15" s="4">
        <v>1.74</v>
      </c>
    </row>
    <row r="16" ht="15.75" customHeight="1">
      <c r="F16" s="5">
        <v>82.7999999999999</v>
      </c>
      <c r="G16" s="4">
        <v>1.661</v>
      </c>
      <c r="I16" s="4">
        <v>99.8</v>
      </c>
      <c r="J16" s="4">
        <v>1.366</v>
      </c>
      <c r="L16" s="5">
        <v>81.2</v>
      </c>
      <c r="M16" s="4">
        <v>1.73</v>
      </c>
    </row>
    <row r="17" ht="15.75" customHeight="1">
      <c r="F17" s="5">
        <v>82.9999999999999</v>
      </c>
      <c r="G17" s="4">
        <v>1.652</v>
      </c>
      <c r="I17" s="4">
        <v>101.3</v>
      </c>
      <c r="J17" s="4">
        <v>1.377</v>
      </c>
      <c r="L17" s="5">
        <v>81.4</v>
      </c>
      <c r="M17" s="4">
        <v>1.714</v>
      </c>
    </row>
    <row r="18" ht="15.75" customHeight="1">
      <c r="F18" s="5">
        <v>83.1999999999999</v>
      </c>
      <c r="G18" s="4">
        <v>1.651</v>
      </c>
      <c r="L18" s="5">
        <v>81.6</v>
      </c>
      <c r="M18" s="4">
        <v>1.714</v>
      </c>
    </row>
    <row r="19" ht="15.75" customHeight="1">
      <c r="F19" s="5">
        <v>83.3999999999999</v>
      </c>
      <c r="G19" s="4">
        <v>1.64</v>
      </c>
      <c r="L19" s="5">
        <v>81.8</v>
      </c>
      <c r="M19" s="4">
        <v>1.703</v>
      </c>
    </row>
    <row r="20" ht="15.75" customHeight="1">
      <c r="F20" s="5">
        <v>83.5999999999999</v>
      </c>
      <c r="G20" s="4">
        <v>1.635</v>
      </c>
      <c r="L20" s="5">
        <v>82.0</v>
      </c>
      <c r="M20" s="4">
        <v>1.683</v>
      </c>
    </row>
    <row r="21" ht="15.75" customHeight="1">
      <c r="F21" s="5">
        <v>83.7999999999999</v>
      </c>
      <c r="G21" s="4">
        <v>1.626</v>
      </c>
      <c r="L21" s="5">
        <v>82.2</v>
      </c>
      <c r="M21" s="4">
        <v>1.682</v>
      </c>
    </row>
    <row r="22" ht="15.75" customHeight="1">
      <c r="F22" s="5">
        <v>83.9999999999999</v>
      </c>
      <c r="G22" s="4">
        <v>1.621</v>
      </c>
      <c r="L22" s="5">
        <v>82.3999999999999</v>
      </c>
      <c r="M22" s="4">
        <v>1.682</v>
      </c>
    </row>
    <row r="23" ht="15.75" customHeight="1">
      <c r="F23" s="5">
        <v>84.1999999999999</v>
      </c>
      <c r="G23" s="4">
        <v>1.608</v>
      </c>
      <c r="L23" s="5">
        <v>82.5999999999999</v>
      </c>
      <c r="M23" s="4">
        <v>1.675</v>
      </c>
    </row>
    <row r="24" ht="15.75" customHeight="1">
      <c r="F24" s="5">
        <v>84.3999999999999</v>
      </c>
      <c r="G24" s="4">
        <v>1.608</v>
      </c>
      <c r="L24" s="5">
        <v>82.7999999999999</v>
      </c>
      <c r="M24" s="4">
        <v>1.661</v>
      </c>
    </row>
    <row r="25" ht="15.75" customHeight="1">
      <c r="F25" s="5">
        <v>84.5999999999999</v>
      </c>
      <c r="G25" s="4">
        <v>1.598</v>
      </c>
      <c r="L25" s="5">
        <v>82.9999999999999</v>
      </c>
      <c r="M25" s="4">
        <v>1.652</v>
      </c>
    </row>
    <row r="26" ht="15.75" customHeight="1">
      <c r="F26" s="5">
        <v>84.7999999999999</v>
      </c>
      <c r="G26" s="4">
        <v>1.584</v>
      </c>
      <c r="L26" s="5">
        <v>83.1999999999999</v>
      </c>
      <c r="M26" s="4">
        <v>1.651</v>
      </c>
    </row>
    <row r="27" ht="15.75" customHeight="1">
      <c r="F27" s="5">
        <v>84.9999999999998</v>
      </c>
      <c r="G27" s="4">
        <v>1.582</v>
      </c>
      <c r="L27" s="5">
        <v>83.3999999999999</v>
      </c>
      <c r="M27" s="4">
        <v>1.64</v>
      </c>
    </row>
    <row r="28" ht="15.75" customHeight="1">
      <c r="F28" s="5">
        <v>85.1999999999999</v>
      </c>
      <c r="G28" s="4">
        <v>1.581</v>
      </c>
      <c r="L28" s="5">
        <v>83.5999999999999</v>
      </c>
      <c r="M28" s="4">
        <v>1.635</v>
      </c>
    </row>
    <row r="29" ht="15.75" customHeight="1">
      <c r="F29" s="5">
        <v>85.3999999999998</v>
      </c>
      <c r="G29" s="4">
        <v>1.576</v>
      </c>
      <c r="L29" s="5">
        <v>83.7999999999999</v>
      </c>
      <c r="M29" s="4">
        <v>1.626</v>
      </c>
    </row>
    <row r="30" ht="15.75" customHeight="1">
      <c r="F30" s="5">
        <v>85.5999999999998</v>
      </c>
      <c r="G30" s="4">
        <v>1.568</v>
      </c>
      <c r="L30" s="5">
        <v>83.9999999999999</v>
      </c>
      <c r="M30" s="4">
        <v>1.621</v>
      </c>
    </row>
    <row r="31" ht="15.75" customHeight="1">
      <c r="F31" s="5">
        <v>85.7999999999998</v>
      </c>
      <c r="G31" s="4">
        <v>1.559</v>
      </c>
      <c r="L31" s="5">
        <v>84.1999999999999</v>
      </c>
      <c r="M31" s="4">
        <v>1.608</v>
      </c>
    </row>
    <row r="32" ht="15.75" customHeight="1">
      <c r="F32" s="5">
        <v>85.9999999999998</v>
      </c>
      <c r="G32" s="4">
        <v>1.554</v>
      </c>
      <c r="L32" s="5">
        <v>84.3999999999999</v>
      </c>
      <c r="M32" s="4">
        <v>1.608</v>
      </c>
    </row>
    <row r="33" ht="15.75" customHeight="1">
      <c r="F33" s="5">
        <v>86.1999999999998</v>
      </c>
      <c r="G33" s="4">
        <v>1.553</v>
      </c>
      <c r="L33" s="5">
        <v>84.5999999999999</v>
      </c>
      <c r="M33" s="4">
        <v>1.598</v>
      </c>
    </row>
    <row r="34" ht="15.75" customHeight="1">
      <c r="F34" s="5">
        <v>86.3999999999998</v>
      </c>
      <c r="G34" s="4">
        <v>1.551</v>
      </c>
      <c r="L34" s="5">
        <v>84.7999999999999</v>
      </c>
      <c r="M34" s="4">
        <v>1.584</v>
      </c>
    </row>
    <row r="35" ht="15.75" customHeight="1">
      <c r="F35" s="5">
        <v>86.5999999999998</v>
      </c>
      <c r="G35" s="4">
        <v>1.547</v>
      </c>
      <c r="L35" s="5">
        <v>84.9999999999998</v>
      </c>
      <c r="M35" s="4">
        <v>1.582</v>
      </c>
    </row>
    <row r="36" ht="15.75" customHeight="1">
      <c r="F36" s="5">
        <v>86.7999999999998</v>
      </c>
      <c r="G36" s="5">
        <v>1.545</v>
      </c>
      <c r="L36" s="5">
        <v>85.1999999999999</v>
      </c>
      <c r="M36" s="4">
        <v>1.581</v>
      </c>
    </row>
    <row r="37" ht="15.75" customHeight="1">
      <c r="F37" s="5">
        <v>86.9999999999998</v>
      </c>
      <c r="G37" s="4">
        <v>1.544</v>
      </c>
      <c r="L37" s="5">
        <v>85.3999999999998</v>
      </c>
      <c r="M37" s="4">
        <v>1.576</v>
      </c>
    </row>
    <row r="38" ht="15.75" customHeight="1">
      <c r="F38" s="5">
        <v>87.1999999999998</v>
      </c>
      <c r="G38" s="4">
        <v>1.54</v>
      </c>
      <c r="L38" s="5">
        <v>85.5999999999998</v>
      </c>
      <c r="M38" s="4">
        <v>1.568</v>
      </c>
    </row>
    <row r="39" ht="15.75" customHeight="1">
      <c r="F39" s="5">
        <v>87.3999999999998</v>
      </c>
      <c r="G39" s="4">
        <v>1.537</v>
      </c>
      <c r="L39" s="5">
        <v>85.7999999999998</v>
      </c>
      <c r="M39" s="4">
        <v>1.559</v>
      </c>
    </row>
    <row r="40" ht="15.75" customHeight="1">
      <c r="F40" s="5">
        <v>87.5999999999998</v>
      </c>
      <c r="G40" s="4">
        <v>1.534</v>
      </c>
      <c r="L40" s="5">
        <v>85.9999999999998</v>
      </c>
      <c r="M40" s="4">
        <v>1.554</v>
      </c>
    </row>
    <row r="41" ht="15.75" customHeight="1">
      <c r="F41" s="5">
        <v>87.7999999999998</v>
      </c>
      <c r="G41" s="4">
        <v>1.533</v>
      </c>
      <c r="L41" s="5">
        <v>86.1999999999998</v>
      </c>
      <c r="M41" s="4">
        <v>1.553</v>
      </c>
    </row>
    <row r="42" ht="15.75" customHeight="1">
      <c r="F42" s="5">
        <v>87.9999999999998</v>
      </c>
      <c r="G42" s="4">
        <v>1.532</v>
      </c>
      <c r="L42" s="5">
        <v>86.3999999999998</v>
      </c>
      <c r="M42" s="4">
        <v>1.551</v>
      </c>
    </row>
    <row r="43" ht="15.75" customHeight="1">
      <c r="F43" s="5">
        <v>88.1999999999998</v>
      </c>
      <c r="G43" s="4">
        <v>1.53</v>
      </c>
      <c r="L43" s="5">
        <v>86.5999999999998</v>
      </c>
      <c r="M43" s="4">
        <v>1.547</v>
      </c>
    </row>
    <row r="44" ht="15.75" customHeight="1">
      <c r="F44" s="5">
        <v>88.3999999999998</v>
      </c>
      <c r="G44" s="4">
        <v>1.527</v>
      </c>
      <c r="L44" s="5">
        <v>86.7999999999998</v>
      </c>
      <c r="M44" s="4">
        <v>1.545</v>
      </c>
    </row>
    <row r="45" ht="15.75" customHeight="1">
      <c r="F45" s="5">
        <v>88.5999999999997</v>
      </c>
      <c r="G45" s="4">
        <v>1.527</v>
      </c>
      <c r="L45" s="5">
        <v>86.9999999999998</v>
      </c>
      <c r="M45" s="4">
        <v>1.544</v>
      </c>
    </row>
    <row r="46" ht="15.75" customHeight="1">
      <c r="F46" s="5">
        <v>88.7999999999997</v>
      </c>
      <c r="G46" s="4">
        <v>1.524</v>
      </c>
      <c r="L46" s="5">
        <v>87.1999999999998</v>
      </c>
      <c r="M46" s="4">
        <v>1.54</v>
      </c>
    </row>
    <row r="47" ht="15.75" customHeight="1">
      <c r="F47" s="5">
        <v>88.9999999999997</v>
      </c>
      <c r="G47" s="4">
        <v>1.524</v>
      </c>
      <c r="L47" s="5">
        <v>87.3999999999998</v>
      </c>
      <c r="M47" s="4">
        <v>1.537</v>
      </c>
    </row>
    <row r="48" ht="15.75" customHeight="1">
      <c r="F48" s="5">
        <v>89.1999999999997</v>
      </c>
      <c r="G48" s="4">
        <v>1.524</v>
      </c>
      <c r="L48" s="5">
        <v>87.5999999999998</v>
      </c>
      <c r="M48" s="4">
        <v>1.534</v>
      </c>
    </row>
    <row r="49" ht="15.75" customHeight="1">
      <c r="F49" s="5">
        <v>89.3999999999997</v>
      </c>
      <c r="G49" s="4">
        <v>1.52</v>
      </c>
      <c r="L49" s="5">
        <v>87.7999999999998</v>
      </c>
      <c r="M49" s="4">
        <v>1.533</v>
      </c>
    </row>
    <row r="50" ht="15.75" customHeight="1">
      <c r="F50" s="5">
        <v>89.5999999999997</v>
      </c>
      <c r="G50" s="4">
        <v>1.518</v>
      </c>
      <c r="L50" s="5">
        <v>87.9999999999998</v>
      </c>
      <c r="M50" s="4">
        <v>1.532</v>
      </c>
    </row>
    <row r="51" ht="15.75" customHeight="1">
      <c r="F51" s="5">
        <v>89.7999999999997</v>
      </c>
      <c r="G51" s="4">
        <v>1.518</v>
      </c>
      <c r="L51" s="5">
        <v>88.1999999999998</v>
      </c>
      <c r="M51" s="4">
        <v>1.53</v>
      </c>
    </row>
    <row r="52" ht="15.75" customHeight="1">
      <c r="F52" s="5">
        <v>89.9999999999997</v>
      </c>
      <c r="G52" s="4">
        <v>1.516</v>
      </c>
      <c r="L52" s="5">
        <v>88.3999999999998</v>
      </c>
      <c r="M52" s="4">
        <v>1.527</v>
      </c>
    </row>
    <row r="53" ht="15.75" customHeight="1">
      <c r="L53" s="5">
        <v>88.5999999999997</v>
      </c>
      <c r="M53" s="4">
        <v>1.527</v>
      </c>
    </row>
    <row r="54" ht="15.75" customHeight="1">
      <c r="L54" s="5">
        <v>88.7999999999997</v>
      </c>
      <c r="M54" s="4">
        <v>1.524</v>
      </c>
    </row>
    <row r="55" ht="15.75" customHeight="1">
      <c r="L55" s="5">
        <v>88.9999999999997</v>
      </c>
      <c r="M55" s="4">
        <v>1.524</v>
      </c>
    </row>
    <row r="56" ht="15.75" customHeight="1">
      <c r="L56" s="5">
        <v>89.1999999999997</v>
      </c>
      <c r="M56" s="4">
        <v>1.524</v>
      </c>
    </row>
    <row r="57" ht="15.75" customHeight="1">
      <c r="L57" s="5">
        <v>89.3999999999997</v>
      </c>
      <c r="M57" s="4">
        <v>1.52</v>
      </c>
    </row>
    <row r="58" ht="15.75" customHeight="1">
      <c r="L58" s="5">
        <v>89.5999999999997</v>
      </c>
      <c r="M58" s="4">
        <v>1.518</v>
      </c>
    </row>
    <row r="59" ht="15.75" customHeight="1">
      <c r="L59" s="5">
        <v>89.7999999999997</v>
      </c>
      <c r="M59" s="4">
        <v>1.518</v>
      </c>
    </row>
    <row r="60" ht="15.75" customHeight="1">
      <c r="L60" s="5">
        <v>89.9999999999997</v>
      </c>
      <c r="M60" s="4">
        <v>1.516</v>
      </c>
    </row>
    <row r="61" ht="15.75" customHeight="1">
      <c r="L61" s="4">
        <v>90.9</v>
      </c>
      <c r="M61" s="4">
        <v>1.548</v>
      </c>
    </row>
    <row r="62" ht="15.75" customHeight="1">
      <c r="L62" s="4">
        <v>92.2</v>
      </c>
      <c r="M62" s="4">
        <v>1.474</v>
      </c>
    </row>
    <row r="63" ht="15.75" customHeight="1">
      <c r="L63" s="4">
        <v>93.8</v>
      </c>
      <c r="M63" s="4">
        <v>1.492</v>
      </c>
    </row>
    <row r="64" ht="15.75" customHeight="1">
      <c r="L64" s="4">
        <v>95.4</v>
      </c>
      <c r="M64" s="4">
        <v>1.49</v>
      </c>
    </row>
    <row r="65" ht="15.75" customHeight="1">
      <c r="L65" s="4">
        <v>97.0</v>
      </c>
      <c r="M65" s="4">
        <v>1.462</v>
      </c>
    </row>
    <row r="66" ht="15.75" customHeight="1">
      <c r="L66" s="4">
        <v>98.4</v>
      </c>
      <c r="M66" s="4">
        <v>1.379</v>
      </c>
    </row>
    <row r="67" ht="15.75" customHeight="1">
      <c r="L67" s="4">
        <v>99.8</v>
      </c>
      <c r="M67" s="4">
        <v>1.366</v>
      </c>
    </row>
    <row r="68" ht="15.75" customHeight="1">
      <c r="L68" s="4">
        <v>101.3</v>
      </c>
      <c r="M68" s="4">
        <v>1.377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33"/>
    <col customWidth="1" min="2" max="2" width="16.67"/>
    <col customWidth="1" min="3" max="3" width="14.22"/>
    <col customWidth="1" min="4" max="4" width="17.0"/>
    <col customWidth="1" min="5" max="5" width="16.44"/>
    <col customWidth="1" min="6" max="6" width="15.56"/>
    <col customWidth="1" min="7" max="7" width="18.0"/>
    <col customWidth="1" min="8" max="8" width="13.78"/>
    <col customWidth="1" min="9" max="26" width="8.56"/>
  </cols>
  <sheetData>
    <row r="1" ht="15.75" customHeight="1">
      <c r="A1" s="2" t="s">
        <v>57</v>
      </c>
      <c r="B1" s="2" t="s">
        <v>58</v>
      </c>
      <c r="D1" s="10" t="s">
        <v>59</v>
      </c>
      <c r="E1" s="3" t="s">
        <v>60</v>
      </c>
      <c r="F1" s="10" t="s">
        <v>33</v>
      </c>
      <c r="G1" s="3" t="s">
        <v>60</v>
      </c>
    </row>
    <row r="2" ht="15.75" customHeight="1">
      <c r="A2" s="8" t="s">
        <v>61</v>
      </c>
      <c r="D2" s="4">
        <v>2.067</v>
      </c>
      <c r="E2" s="4">
        <v>192.0</v>
      </c>
      <c r="F2" s="4">
        <v>167.0</v>
      </c>
      <c r="G2" s="4">
        <v>2.186</v>
      </c>
    </row>
    <row r="3" ht="15.75" customHeight="1">
      <c r="D3" s="4">
        <v>2.078</v>
      </c>
      <c r="E3" s="4">
        <v>191.0</v>
      </c>
      <c r="F3" s="4">
        <v>166.0</v>
      </c>
      <c r="G3" s="4">
        <v>2.182</v>
      </c>
    </row>
    <row r="4" ht="15.75" customHeight="1">
      <c r="A4" s="5" t="s">
        <v>62</v>
      </c>
      <c r="B4" s="5" t="s">
        <v>63</v>
      </c>
      <c r="D4" s="4">
        <v>2.066</v>
      </c>
      <c r="E4" s="4">
        <v>192.0</v>
      </c>
      <c r="F4" s="4">
        <v>167.0</v>
      </c>
      <c r="G4" s="4">
        <v>2.185</v>
      </c>
    </row>
    <row r="5" ht="15.75" customHeight="1">
      <c r="A5" s="4">
        <v>1.871</v>
      </c>
      <c r="B5" s="4">
        <v>180.0</v>
      </c>
      <c r="D5" s="4">
        <v>2.071</v>
      </c>
      <c r="E5" s="4">
        <v>192.0</v>
      </c>
      <c r="F5" s="4">
        <v>167.0</v>
      </c>
      <c r="G5" s="4">
        <v>2.188</v>
      </c>
    </row>
    <row r="6" ht="15.75" customHeight="1">
      <c r="D6" s="4">
        <v>2.065</v>
      </c>
      <c r="E6" s="4">
        <v>191.0</v>
      </c>
      <c r="F6" s="4">
        <v>166.0</v>
      </c>
      <c r="G6" s="4">
        <v>2.173</v>
      </c>
    </row>
    <row r="7" ht="15.75" customHeight="1">
      <c r="C7" s="9" t="s">
        <v>52</v>
      </c>
      <c r="D7" s="4">
        <f t="shared" ref="D7:G7" si="1">AVERAGE(D2:D6)</f>
        <v>2.0694</v>
      </c>
      <c r="E7" s="4">
        <f t="shared" si="1"/>
        <v>191.6</v>
      </c>
      <c r="F7" s="4">
        <f t="shared" si="1"/>
        <v>166.6</v>
      </c>
      <c r="G7" s="4">
        <f t="shared" si="1"/>
        <v>2.1828</v>
      </c>
    </row>
    <row r="8" ht="15.75" customHeight="1">
      <c r="A8" s="8" t="s">
        <v>64</v>
      </c>
      <c r="C8" s="9" t="s">
        <v>55</v>
      </c>
      <c r="D8" s="4">
        <f t="shared" ref="D8:G8" si="2">STDEV(D2:D6)</f>
        <v>0.005319774431</v>
      </c>
      <c r="E8" s="4">
        <f t="shared" si="2"/>
        <v>0.5477225575</v>
      </c>
      <c r="F8" s="4">
        <f t="shared" si="2"/>
        <v>0.5477225575</v>
      </c>
      <c r="G8" s="4">
        <f t="shared" si="2"/>
        <v>0.00589067059</v>
      </c>
    </row>
    <row r="9" ht="15.75" customHeight="1">
      <c r="A9" s="4" t="s">
        <v>65</v>
      </c>
      <c r="B9" s="4" t="s">
        <v>66</v>
      </c>
    </row>
    <row r="10" ht="15.75" customHeight="1">
      <c r="A10" s="4" t="s">
        <v>67</v>
      </c>
      <c r="B10" s="4">
        <v>0.002</v>
      </c>
      <c r="D10" s="10" t="s">
        <v>59</v>
      </c>
      <c r="E10" s="3" t="s">
        <v>68</v>
      </c>
      <c r="F10" s="10" t="s">
        <v>33</v>
      </c>
      <c r="G10" s="3" t="s">
        <v>68</v>
      </c>
    </row>
    <row r="11" ht="15.75" customHeight="1">
      <c r="D11" s="4">
        <v>2.904</v>
      </c>
      <c r="E11" s="4">
        <v>227.0</v>
      </c>
      <c r="F11" s="4">
        <v>143.0</v>
      </c>
      <c r="G11" s="4">
        <v>2.327</v>
      </c>
    </row>
    <row r="12" ht="15.75" customHeight="1">
      <c r="D12" s="4">
        <v>2.911</v>
      </c>
      <c r="E12" s="4">
        <v>227.0</v>
      </c>
      <c r="F12" s="4">
        <v>142.0</v>
      </c>
      <c r="G12" s="4">
        <v>2.319</v>
      </c>
    </row>
    <row r="13" ht="15.75" customHeight="1">
      <c r="D13" s="4">
        <v>2.904</v>
      </c>
      <c r="E13" s="4">
        <v>228.0</v>
      </c>
      <c r="F13" s="4">
        <v>144.0</v>
      </c>
      <c r="G13" s="4">
        <v>2.323</v>
      </c>
    </row>
    <row r="14" ht="15.75" customHeight="1">
      <c r="A14" s="4"/>
      <c r="B14" s="4"/>
      <c r="D14" s="4">
        <v>2.913</v>
      </c>
      <c r="E14" s="4">
        <v>228.0</v>
      </c>
      <c r="F14" s="4">
        <v>141.0</v>
      </c>
      <c r="G14" s="4">
        <v>2.333</v>
      </c>
    </row>
    <row r="15" ht="15.75" customHeight="1">
      <c r="D15" s="4">
        <v>2.912</v>
      </c>
      <c r="E15" s="4">
        <v>228.0</v>
      </c>
      <c r="F15" s="4">
        <v>140.0</v>
      </c>
      <c r="G15" s="4">
        <v>2.334</v>
      </c>
    </row>
    <row r="16" ht="15.75" customHeight="1">
      <c r="C16" s="9" t="s">
        <v>52</v>
      </c>
      <c r="D16" s="4">
        <f t="shared" ref="D16:G16" si="3">AVERAGE(D11:D15)</f>
        <v>2.9088</v>
      </c>
      <c r="E16" s="4">
        <f t="shared" si="3"/>
        <v>227.6</v>
      </c>
      <c r="F16" s="4">
        <f t="shared" si="3"/>
        <v>142</v>
      </c>
      <c r="G16" s="4">
        <f t="shared" si="3"/>
        <v>2.3272</v>
      </c>
    </row>
    <row r="17" ht="15.75" customHeight="1">
      <c r="C17" s="9" t="s">
        <v>55</v>
      </c>
      <c r="D17" s="4">
        <f t="shared" ref="D17:G17" si="4">STDEV(D11:D15)</f>
        <v>0.004438468204</v>
      </c>
      <c r="E17" s="4">
        <f t="shared" si="4"/>
        <v>0.5477225575</v>
      </c>
      <c r="F17" s="4">
        <f t="shared" si="4"/>
        <v>1.58113883</v>
      </c>
      <c r="G17" s="4">
        <f t="shared" si="4"/>
        <v>0.006418722614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2026-04-22T10:36:06Z</dcterms:created>
  <dc:creator>Greta Mignani</dc:creator>
</cp:coreProperties>
</file>